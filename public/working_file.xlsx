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asurem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4"/>
  <sheetViews>
    <sheetView workbookViewId="0"/>
  </sheetViews>
  <cols>
    <col min="1" max="1" width="9.83203125" customWidth="1"/>
    <col min="2" max="2" width="17.83203125" customWidth="1"/>
    <col min="3" max="3" width="17.83203125" customWidth="1"/>
    <col min="4" max="4" width="10.83203125" customWidth="1"/>
    <col min="5" max="5" width="12.83203125" customWidth="1"/>
    <col min="6" max="6" width="10.83203125" customWidth="1"/>
    <col min="7" max="7" width="11.83203125" customWidth="1"/>
    <col min="8" max="8" width="19.83203125" customWidth="1"/>
    <col min="9" max="9" width="22.83203125" customWidth="1"/>
    <col min="10" max="10" width="15.83203125" customWidth="1"/>
    <col min="11" max="11" width="17.83203125" customWidth="1"/>
    <col min="12" max="12" width="18.83203125" customWidth="1"/>
    <col min="13" max="13" width="21.83203125" customWidth="1"/>
    <col min="14" max="14" width="21.83203125" customWidth="1"/>
    <col min="15" max="15" width="37.83203125" customWidth="1"/>
    <col min="16" max="16" width="20.83203125" customWidth="1"/>
    <col min="17" max="17" width="21.83203125" customWidth="1"/>
    <col min="18" max="18" width="15.83203125" customWidth="1"/>
    <col min="19" max="19" width="23.83203125" customWidth="1"/>
    <col min="20" max="20" width="25.83203125" customWidth="1"/>
    <col min="21" max="21" width="22.83203125" customWidth="1"/>
    <col min="22" max="22" width="13.83203125" customWidth="1"/>
    <col min="23" max="23" width="15.83203125" customWidth="1"/>
    <col min="24" max="24" width="20.83203125" customWidth="1"/>
    <col min="25" max="25" width="24.83203125" customWidth="1"/>
    <col min="26" max="26" width="17.83203125" customWidth="1"/>
  </cols>
  <sheetData>
    <row r="1">
      <c r="A1" t="str">
        <v>METADATA:</v>
      </c>
    </row>
    <row r="2">
      <c r="A2" t="str">
        <v>School Name</v>
      </c>
      <c r="B2" t="str">
        <v>greenvilla</v>
      </c>
    </row>
    <row r="3">
      <c r="A3" t="str">
        <v>Pattern Code</v>
      </c>
      <c r="B3" t="str">
        <v>medium</v>
      </c>
    </row>
    <row r="4">
      <c r="A4" t="str">
        <v>Description</v>
      </c>
      <c r="B4" t="str">
        <v>testing</v>
      </c>
    </row>
    <row r="5">
      <c r="A5" t="str">
        <v>Cloth Details</v>
      </c>
      <c r="B5" t="str">
        <v>cotton</v>
      </c>
    </row>
    <row r="6">
      <c r="A6" t="str">
        <v>Special Requirements</v>
      </c>
      <c r="B6" t="str">
        <v>nothing</v>
      </c>
    </row>
    <row r="7">
      <c r="A7" t="str">
        <v>Total Students</v>
      </c>
      <c r="B7">
        <v>1</v>
      </c>
    </row>
    <row r="8">
      <c r="A8" t="str">
        <v>Cloth/Student</v>
      </c>
      <c r="B8" t="str">
        <v>1.1 M</v>
      </c>
      <c r="C8" t="str">
        <v>Total Cloth</v>
      </c>
      <c r="D8" t="str">
        <v>1.10 M</v>
      </c>
    </row>
    <row r="9">
      <c r="A9" t="str">
        <v>Filters Applied</v>
      </c>
      <c r="B9" t="str">
        <v>Item: BOYS - FORMAL SHIRT | U1: 1-26</v>
      </c>
    </row>
    <row r="10">
      <c r="A10" t="str">
        <v>Item Filter</v>
      </c>
      <c r="B10" t="str">
        <v>BOYS - FORMAL SHIRT</v>
      </c>
    </row>
    <row r="11">
      <c r="A11" t="str">
        <v>Export Date</v>
      </c>
      <c r="B11" t="str">
        <v>12/7/2025, 5:19:26 PM</v>
      </c>
    </row>
    <row r="13">
      <c r="A13" t="str">
        <v>S.No</v>
      </c>
      <c r="B13" t="str">
        <v>Admission No</v>
      </c>
      <c r="C13" t="str">
        <v>Student Name</v>
      </c>
      <c r="D13" t="str">
        <v>Class</v>
      </c>
      <c r="E13" t="str">
        <v>Section</v>
      </c>
      <c r="F13" t="str">
        <v>House</v>
      </c>
      <c r="G13" t="str">
        <v>Gender</v>
      </c>
      <c r="H13" t="str">
        <v>Absent/Present</v>
      </c>
      <c r="I13" t="str">
        <v>U1 (SHIRT LENGTH)</v>
      </c>
      <c r="J13" t="str">
        <v>U2 (CHEST)</v>
      </c>
      <c r="K13" t="str">
        <v>U3 (STOMACH)</v>
      </c>
      <c r="L13" t="str">
        <v>U4 (SHOULDER)</v>
      </c>
      <c r="M13" t="str">
        <v>U5 (FULL SLEEVE)</v>
      </c>
      <c r="N13" t="str">
        <v>U6 (HALF SLEEVE)</v>
      </c>
      <c r="O13" t="str">
        <v>U7 (KURTHA/SPECIAL FROCK LENGTH)</v>
      </c>
      <c r="P13" t="str">
        <v>U8 (EXTRA CELL)</v>
      </c>
      <c r="Q13" t="str">
        <v>L1 (PANT LENGTH)</v>
      </c>
      <c r="R13" t="str">
        <v>L2 (WAIST)</v>
      </c>
      <c r="S13" t="str">
        <v>L3 (SHORTS LENGTH)</v>
      </c>
      <c r="T13" t="str">
        <v>L4 (PINOFORE LENGTH)</v>
      </c>
      <c r="U13" t="str">
        <v>L5 (SKIRT LENGTH)</v>
      </c>
      <c r="V13" t="str">
        <v>L6 (HIP)</v>
      </c>
      <c r="W13" t="str">
        <v>L7 (THIGH)</v>
      </c>
      <c r="X13" t="str">
        <v>L8 (EXTRA CELL)</v>
      </c>
      <c r="Y13" t="str">
        <v>BOYS - FORMAL SHIRT</v>
      </c>
      <c r="Z13" t="str">
        <v>Pattern Code</v>
      </c>
    </row>
    <row r="14">
      <c r="A14">
        <v>1</v>
      </c>
      <c r="B14" t="str">
        <v>2311</v>
      </c>
      <c r="C14" t="str">
        <v>alen</v>
      </c>
      <c r="D14" t="str">
        <v>10</v>
      </c>
      <c r="E14" t="str">
        <v>A</v>
      </c>
      <c r="F14" t="str">
        <v>BLUE</v>
      </c>
      <c r="G14" t="str">
        <v>Male</v>
      </c>
      <c r="H14" t="str">
        <v>Present</v>
      </c>
      <c r="I14" t="str">
        <v>12</v>
      </c>
      <c r="J14" t="str">
        <v>33</v>
      </c>
      <c r="K14" t="str">
        <v>23</v>
      </c>
      <c r="L14" t="str">
        <v>45</v>
      </c>
      <c r="M14" t="str">
        <v>56</v>
      </c>
      <c r="N14" t="str">
        <v>67</v>
      </c>
      <c r="O14" t="str">
        <v>43</v>
      </c>
      <c r="P14" t="str">
        <v>22</v>
      </c>
      <c r="Q14" t="str">
        <v>12</v>
      </c>
      <c r="R14" t="str">
        <v>00</v>
      </c>
      <c r="S14" t="str">
        <v>00</v>
      </c>
      <c r="T14" t="str">
        <v>00</v>
      </c>
      <c r="U14" t="str">
        <v>00</v>
      </c>
      <c r="V14" t="str">
        <v>00</v>
      </c>
      <c r="W14" t="str">
        <v>00</v>
      </c>
      <c r="X14" t="str">
        <v>00</v>
      </c>
      <c r="Y14" t="str">
        <f>IF(UPPER(G14)="MALE", I14 &amp; "," &amp; J14 &amp; "," &amp; K14 &amp; "," &amp; L14 &amp; "," &amp; N14, "")</f>
        <v>12,33,23,45,67</v>
      </c>
      <c r="Z14" t="str">
        <v>medium</v>
      </c>
    </row>
  </sheetData>
  <ignoredErrors>
    <ignoredError numberStoredAsText="1" sqref="A1:Z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